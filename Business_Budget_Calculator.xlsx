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595959"/>
      <sz val="9"/>
    </font>
    <font>
      <name val="Calibri"/>
      <b val="1"/>
      <color rgb="00FFFFFF"/>
      <sz val="11"/>
    </font>
    <font>
      <color rgb="00595959"/>
      <sz val="9"/>
    </font>
    <font>
      <name val="Calibri"/>
      <b val="1"/>
      <color rgb="00000000"/>
      <sz val="11"/>
    </font>
    <font>
      <name val="Calibri"/>
      <b val="1"/>
      <color rgb="00FFFFFF"/>
      <sz val="12"/>
    </font>
    <font>
      <b val="1"/>
      <color rgb="001F3864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7E1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166" fontId="7" fillId="7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5" fillId="6" borderId="1" pivotButton="0" quotePrefix="0" xfId="0"/>
    <xf numFmtId="166" fontId="5" fillId="6" borderId="1" applyAlignment="1" pivotButton="0" quotePrefix="0" xfId="0">
      <alignment horizontal="right" vertical="center"/>
    </xf>
    <xf numFmtId="0" fontId="0" fillId="6" borderId="1" pivotButton="0" quotePrefix="0" xfId="0"/>
    <xf numFmtId="165" fontId="7" fillId="7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right" vertical="center"/>
    </xf>
    <xf numFmtId="164" fontId="0" fillId="0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164" fontId="5" fillId="5" borderId="1" pivotButton="0" quotePrefix="0" xfId="0"/>
    <xf numFmtId="165" fontId="0" fillId="0" borderId="1" pivotButton="0" quotePrefix="0" xfId="0"/>
    <xf numFmtId="0" fontId="5" fillId="6" borderId="1" applyAlignment="1" pivotButton="0" quotePrefix="0" xfId="0">
      <alignment horizontal="left" vertical="center" wrapText="1"/>
    </xf>
    <xf numFmtId="164" fontId="5" fillId="6" borderId="1" pivotButton="0" quotePrefix="0" xfId="0"/>
    <xf numFmtId="165" fontId="5" fillId="6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0" fontId="6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164" fontId="6" fillId="2" borderId="1" pivotButton="0" quotePrefix="0" xfId="0"/>
    <xf numFmtId="165" fontId="6" fillId="2" borderId="1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Where the money goes (annual)</a:t>
            </a:r>
          </a:p>
        </rich>
      </tx>
    </title>
    <plotArea>
      <pieChart>
        <varyColors val="1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'Dashboard'!$E$5:$E$7</f>
            </numRef>
          </cat>
          <val>
            <numRef>
              <f>'Dashboard'!$F$5:$F$7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2" customWidth="1" min="4" max="4"/>
    <col width="22" customWidth="1" min="5" max="5"/>
    <col width="16" customWidth="1" min="6" max="6"/>
    <col width="14" customWidth="1" min="7" max="7"/>
  </cols>
  <sheetData>
    <row r="1" ht="32" customHeight="1">
      <c r="A1" s="1" t="inlineStr">
        <is>
          <t>Business Budget — Summary</t>
        </is>
      </c>
    </row>
    <row r="2">
      <c r="A2" s="2" t="inlineStr">
        <is>
          <t>Figures pull live from the 'Budget' tab. Edit line items there.</t>
        </is>
      </c>
    </row>
    <row r="4">
      <c r="A4" s="3" t="inlineStr">
        <is>
          <t>Annual income</t>
        </is>
      </c>
      <c r="B4" s="4">
        <f>'Budget'!$E$8</f>
        <v/>
      </c>
      <c r="E4" s="5" t="inlineStr">
        <is>
          <t>Cost category</t>
        </is>
      </c>
      <c r="F4" s="5" t="inlineStr">
        <is>
          <t>Annual cost</t>
        </is>
      </c>
      <c r="G4" s="5" t="inlineStr">
        <is>
          <t>% of total</t>
        </is>
      </c>
    </row>
    <row r="5">
      <c r="A5" s="3" t="inlineStr">
        <is>
          <t>Total annual expenses</t>
        </is>
      </c>
      <c r="B5" s="4">
        <f>'Budget'!E34</f>
        <v/>
      </c>
      <c r="E5" s="6" t="inlineStr">
        <is>
          <t>Vehicle Costs</t>
        </is>
      </c>
      <c r="F5" s="7">
        <f>'Budget'!E17</f>
        <v/>
      </c>
      <c r="G5" s="8">
        <f>IF('Budget'!E34=0,"",F5/'Budget'!E34)</f>
        <v/>
      </c>
    </row>
    <row r="6">
      <c r="A6" s="3" t="inlineStr">
        <is>
          <t>Net annual profit</t>
        </is>
      </c>
      <c r="B6" s="4">
        <f>'Budget'!E35</f>
        <v/>
      </c>
      <c r="E6" s="6" t="inlineStr">
        <is>
          <t>Subscriptions</t>
        </is>
      </c>
      <c r="F6" s="7">
        <f>'Budget'!E22</f>
        <v/>
      </c>
      <c r="G6" s="8">
        <f>IF('Budget'!E34=0,"",F6/'Budget'!E34)</f>
        <v/>
      </c>
    </row>
    <row r="7">
      <c r="A7" s="3" t="inlineStr">
        <is>
          <t>Net monthly profit</t>
        </is>
      </c>
      <c r="B7" s="4">
        <f>'Budget'!E35/12</f>
        <v/>
      </c>
      <c r="E7" s="6" t="inlineStr">
        <is>
          <t>Business Costs &amp; Licensing</t>
        </is>
      </c>
      <c r="F7" s="7">
        <f>'Budget'!E32</f>
        <v/>
      </c>
      <c r="G7" s="8">
        <f>IF('Budget'!E34=0,"",F7/'Budget'!E34)</f>
        <v/>
      </c>
    </row>
    <row r="8">
      <c r="A8" s="3" t="inlineStr">
        <is>
          <t>Average monthly expenses</t>
        </is>
      </c>
      <c r="B8" s="4">
        <f>'Budget'!E34/12</f>
        <v/>
      </c>
      <c r="E8" s="9" t="inlineStr">
        <is>
          <t>Total expenses</t>
        </is>
      </c>
      <c r="F8" s="10">
        <f>SUM(F5:F7)</f>
        <v/>
      </c>
      <c r="G8" s="11" t="n"/>
    </row>
    <row r="9">
      <c r="A9" s="3" t="inlineStr">
        <is>
          <t>Net margin</t>
        </is>
      </c>
      <c r="B9" s="12">
        <f>IF('Budget'!$E$8=0,"",'Budget'!E35/'Budget'!$E$8)</f>
        <v/>
      </c>
    </row>
  </sheetData>
  <mergeCells count="2">
    <mergeCell ref="A2:G2"/>
    <mergeCell ref="A1:G1"/>
  </mergeCells>
  <conditionalFormatting sqref="B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B9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3" customWidth="1" min="4" max="4"/>
    <col width="13" customWidth="1" min="5" max="5"/>
    <col width="12" customWidth="1" min="6" max="6"/>
    <col width="34" customWidth="1" min="7" max="7"/>
  </cols>
  <sheetData>
    <row r="1" ht="30" customHeight="1">
      <c r="A1" s="1" t="inlineStr">
        <is>
          <t>Business Budget &amp; Cost Calculator</t>
        </is>
      </c>
    </row>
    <row r="2">
      <c r="A2" s="2" t="inlineStr">
        <is>
          <t>Currency: AUD ($).  Blue cells are editable — change Amount or Frequency and totals update automatically.</t>
        </is>
      </c>
    </row>
    <row r="4">
      <c r="A4" s="5" t="inlineStr">
        <is>
          <t>Item</t>
        </is>
      </c>
      <c r="B4" s="5" t="inlineStr">
        <is>
          <t>Frequency</t>
        </is>
      </c>
      <c r="C4" s="5" t="inlineStr">
        <is>
          <t>Amount</t>
        </is>
      </c>
      <c r="D4" s="5" t="inlineStr">
        <is>
          <t>Monthly</t>
        </is>
      </c>
      <c r="E4" s="5" t="inlineStr">
        <is>
          <t>Annual</t>
        </is>
      </c>
      <c r="F4" s="5" t="inlineStr">
        <is>
          <t>% of Income</t>
        </is>
      </c>
      <c r="G4" s="5" t="inlineStr">
        <is>
          <t>Notes</t>
        </is>
      </c>
    </row>
    <row r="5">
      <c r="A5" s="13" t="inlineStr">
        <is>
          <t>INCOME</t>
        </is>
      </c>
      <c r="B5" s="14" t="n"/>
      <c r="C5" s="14" t="n"/>
      <c r="D5" s="14" t="n"/>
      <c r="E5" s="14" t="n"/>
      <c r="F5" s="14" t="n"/>
      <c r="G5" s="14" t="n"/>
    </row>
    <row r="6">
      <c r="A6" s="6" t="inlineStr">
        <is>
          <t>Business income / revenue</t>
        </is>
      </c>
      <c r="B6" s="15" t="inlineStr">
        <is>
          <t>Annually</t>
        </is>
      </c>
      <c r="C6" s="16" t="n">
        <v>100000</v>
      </c>
      <c r="D6" s="17">
        <f>IF(E6="","",E6/12)</f>
        <v/>
      </c>
      <c r="E6" s="17">
        <f>IF(C6="","",C6*IF(B6="Weekly",52,IF(B6="Fortnightly",26,IF(B6="Monthly",12,IF(B6="Quarterly",4,IF(B6="Half-yearly",2,IF(B6="Annually",1,IF(B6="One-off",1,0))))))))</f>
        <v/>
      </c>
      <c r="F6" s="18" t="n"/>
      <c r="G6" s="19" t="inlineStr">
        <is>
          <t>Client's stated annual earnings</t>
        </is>
      </c>
    </row>
    <row r="7">
      <c r="A7" s="6" t="inlineStr">
        <is>
          <t>Other income</t>
        </is>
      </c>
      <c r="B7" s="15" t="inlineStr">
        <is>
          <t>Annually</t>
        </is>
      </c>
      <c r="C7" s="16" t="n">
        <v>0</v>
      </c>
      <c r="D7" s="17">
        <f>IF(E7="","",E7/12)</f>
        <v/>
      </c>
      <c r="E7" s="17">
        <f>IF(C7="","",C7*IF(B7="Weekly",52,IF(B7="Fortnightly",26,IF(B7="Monthly",12,IF(B7="Quarterly",4,IF(B7="Half-yearly",2,IF(B7="Annually",1,IF(B7="One-off",1,0))))))))</f>
        <v/>
      </c>
      <c r="F7" s="18" t="n"/>
      <c r="G7" s="19" t="inlineStr">
        <is>
          <t>Grants, interest, side jobs, etc.</t>
        </is>
      </c>
    </row>
    <row r="8">
      <c r="A8" s="20" t="inlineStr">
        <is>
          <t>TOTAL INCOME</t>
        </is>
      </c>
      <c r="B8" s="21" t="n"/>
      <c r="C8" s="21" t="n"/>
      <c r="D8" s="22">
        <f>SUM(D6:D7)</f>
        <v/>
      </c>
      <c r="E8" s="22">
        <f>SUM(E6:E7)</f>
        <v/>
      </c>
      <c r="F8" s="21" t="n"/>
      <c r="G8" s="21" t="n"/>
    </row>
    <row r="10">
      <c r="A10" s="13" t="inlineStr">
        <is>
          <t>VEHICLE COSTS</t>
        </is>
      </c>
      <c r="B10" s="14" t="n"/>
      <c r="C10" s="14" t="n"/>
      <c r="D10" s="14" t="n"/>
      <c r="E10" s="14" t="n"/>
      <c r="F10" s="14" t="n"/>
      <c r="G10" s="14" t="n"/>
    </row>
    <row r="11">
      <c r="A11" s="6" t="inlineStr">
        <is>
          <t>Servicing &amp; logbook</t>
        </is>
      </c>
      <c r="B11" s="15" t="inlineStr">
        <is>
          <t>Quarterly</t>
        </is>
      </c>
      <c r="C11" s="16" t="n">
        <v>375</v>
      </c>
      <c r="D11" s="17">
        <f>IF(E11="","",E11/12)</f>
        <v/>
      </c>
      <c r="E11" s="17">
        <f>IF(C11="","",C11*IF(B11="Weekly",52,IF(B11="Fortnightly",26,IF(B11="Monthly",12,IF(B11="Quarterly",4,IF(B11="Half-yearly",2,IF(B11="Annually",1,IF(B11="One-off",1,0))))))))</f>
        <v/>
      </c>
      <c r="F11" s="23">
        <f>IF($E$8=0,"",E11/$E$8)</f>
        <v/>
      </c>
      <c r="G11" s="19" t="inlineStr">
        <is>
          <t>~$1,500 / year</t>
        </is>
      </c>
    </row>
    <row r="12">
      <c r="A12" s="6" t="inlineStr">
        <is>
          <t>Tyres</t>
        </is>
      </c>
      <c r="B12" s="15" t="inlineStr">
        <is>
          <t>Annually</t>
        </is>
      </c>
      <c r="C12" s="16" t="n">
        <v>1200</v>
      </c>
      <c r="D12" s="17">
        <f>IF(E12="","",E12/12)</f>
        <v/>
      </c>
      <c r="E12" s="17">
        <f>IF(C12="","",C12*IF(B12="Weekly",52,IF(B12="Fortnightly",26,IF(B12="Monthly",12,IF(B12="Quarterly",4,IF(B12="Half-yearly",2,IF(B12="Annually",1,IF(B12="One-off",1,0))))))))</f>
        <v/>
      </c>
      <c r="F12" s="23">
        <f>IF($E$8=0,"",E12/$E$8)</f>
        <v/>
      </c>
      <c r="G12" s="19" t="inlineStr">
        <is>
          <t>Set of tyres incl. fitting</t>
        </is>
      </c>
    </row>
    <row r="13">
      <c r="A13" s="6" t="inlineStr">
        <is>
          <t>Fuel</t>
        </is>
      </c>
      <c r="B13" s="15" t="inlineStr">
        <is>
          <t>Weekly</t>
        </is>
      </c>
      <c r="C13" s="16" t="n">
        <v>80</v>
      </c>
      <c r="D13" s="17">
        <f>IF(E13="","",E13/12)</f>
        <v/>
      </c>
      <c r="E13" s="17">
        <f>IF(C13="","",C13*IF(B13="Weekly",52,IF(B13="Fortnightly",26,IF(B13="Monthly",12,IF(B13="Quarterly",4,IF(B13="Half-yearly",2,IF(B13="Annually",1,IF(B13="One-off",1,0))))))))</f>
        <v/>
      </c>
      <c r="F13" s="23">
        <f>IF($E$8=0,"",E13/$E$8)</f>
        <v/>
      </c>
      <c r="G13" s="19" t="inlineStr">
        <is>
          <t>~$80 / week</t>
        </is>
      </c>
    </row>
    <row r="14">
      <c r="A14" s="6" t="inlineStr">
        <is>
          <t>Registration &amp; CTP</t>
        </is>
      </c>
      <c r="B14" s="15" t="inlineStr">
        <is>
          <t>Annually</t>
        </is>
      </c>
      <c r="C14" s="16" t="n">
        <v>850</v>
      </c>
      <c r="D14" s="17">
        <f>IF(E14="","",E14/12)</f>
        <v/>
      </c>
      <c r="E14" s="17">
        <f>IF(C14="","",C14*IF(B14="Weekly",52,IF(B14="Fortnightly",26,IF(B14="Monthly",12,IF(B14="Quarterly",4,IF(B14="Half-yearly",2,IF(B14="Annually",1,IF(B14="One-off",1,0))))))))</f>
        <v/>
      </c>
      <c r="F14" s="23">
        <f>IF($E$8=0,"",E14/$E$8)</f>
        <v/>
      </c>
      <c r="G14" s="19" t="inlineStr">
        <is>
          <t>Annual rego renewal</t>
        </is>
      </c>
    </row>
    <row r="15">
      <c r="A15" s="6" t="inlineStr">
        <is>
          <t>Vehicle insurance</t>
        </is>
      </c>
      <c r="B15" s="15" t="inlineStr">
        <is>
          <t>Monthly</t>
        </is>
      </c>
      <c r="C15" s="16" t="n">
        <v>120</v>
      </c>
      <c r="D15" s="17">
        <f>IF(E15="","",E15/12)</f>
        <v/>
      </c>
      <c r="E15" s="17">
        <f>IF(C15="","",C15*IF(B15="Weekly",52,IF(B15="Fortnightly",26,IF(B15="Monthly",12,IF(B15="Quarterly",4,IF(B15="Half-yearly",2,IF(B15="Annually",1,IF(B15="One-off",1,0))))))))</f>
        <v/>
      </c>
      <c r="F15" s="23">
        <f>IF($E$8=0,"",E15/$E$8)</f>
        <v/>
      </c>
      <c r="G15" s="19" t="inlineStr">
        <is>
          <t>Comprehensive cover</t>
        </is>
      </c>
    </row>
    <row r="16">
      <c r="A16" s="6" t="inlineStr">
        <is>
          <t>Repairs &amp; maintenance</t>
        </is>
      </c>
      <c r="B16" s="15" t="inlineStr">
        <is>
          <t>Annually</t>
        </is>
      </c>
      <c r="C16" s="16" t="n">
        <v>800</v>
      </c>
      <c r="D16" s="17">
        <f>IF(E16="","",E16/12)</f>
        <v/>
      </c>
      <c r="E16" s="17">
        <f>IF(C16="","",C16*IF(B16="Weekly",52,IF(B16="Fortnightly",26,IF(B16="Monthly",12,IF(B16="Quarterly",4,IF(B16="Half-yearly",2,IF(B16="Annually",1,IF(B16="One-off",1,0))))))))</f>
        <v/>
      </c>
      <c r="F16" s="23">
        <f>IF($E$8=0,"",E16/$E$8)</f>
        <v/>
      </c>
      <c r="G16" s="19" t="inlineStr">
        <is>
          <t>Wear &amp; tear buffer</t>
        </is>
      </c>
    </row>
    <row r="17">
      <c r="A17" s="24" t="inlineStr">
        <is>
          <t>Subtotal — Vehicle Costs</t>
        </is>
      </c>
      <c r="B17" s="11" t="n"/>
      <c r="C17" s="11" t="n"/>
      <c r="D17" s="25">
        <f>SUM(D11:D16)</f>
        <v/>
      </c>
      <c r="E17" s="25">
        <f>SUM(E11:E16)</f>
        <v/>
      </c>
      <c r="F17" s="26">
        <f>IF($E$8=0,"",E17/$E$8)</f>
        <v/>
      </c>
      <c r="G17" s="11" t="n"/>
    </row>
    <row r="19">
      <c r="A19" s="13" t="inlineStr">
        <is>
          <t>SUBSCRIPTIONS</t>
        </is>
      </c>
      <c r="B19" s="14" t="n"/>
      <c r="C19" s="14" t="n"/>
      <c r="D19" s="14" t="n"/>
      <c r="E19" s="14" t="n"/>
      <c r="F19" s="14" t="n"/>
      <c r="G19" s="14" t="n"/>
    </row>
    <row r="20">
      <c r="A20" s="6" t="inlineStr">
        <is>
          <t>ServiceM8 (job management)</t>
        </is>
      </c>
      <c r="B20" s="15" t="inlineStr">
        <is>
          <t>Monthly</t>
        </is>
      </c>
      <c r="C20" s="16" t="n">
        <v>99</v>
      </c>
      <c r="D20" s="17">
        <f>IF(E20="","",E20/12)</f>
        <v/>
      </c>
      <c r="E20" s="17">
        <f>IF(C20="","",C20*IF(B20="Weekly",52,IF(B20="Fortnightly",26,IF(B20="Monthly",12,IF(B20="Quarterly",4,IF(B20="Half-yearly",2,IF(B20="Annually",1,IF(B20="One-off",1,0))))))))</f>
        <v/>
      </c>
      <c r="F20" s="23">
        <f>IF($E$8=0,"",E20/$E$8)</f>
        <v/>
      </c>
      <c r="G20" s="19" t="inlineStr">
        <is>
          <t>Adjust to your plan tier</t>
        </is>
      </c>
    </row>
    <row r="21">
      <c r="A21" s="6" t="inlineStr">
        <is>
          <t>Xero (accounting)</t>
        </is>
      </c>
      <c r="B21" s="15" t="inlineStr">
        <is>
          <t>Monthly</t>
        </is>
      </c>
      <c r="C21" s="16" t="n">
        <v>70</v>
      </c>
      <c r="D21" s="17">
        <f>IF(E21="","",E21/12)</f>
        <v/>
      </c>
      <c r="E21" s="17">
        <f>IF(C21="","",C21*IF(B21="Weekly",52,IF(B21="Fortnightly",26,IF(B21="Monthly",12,IF(B21="Quarterly",4,IF(B21="Half-yearly",2,IF(B21="Annually",1,IF(B21="One-off",1,0))))))))</f>
        <v/>
      </c>
      <c r="F21" s="23">
        <f>IF($E$8=0,"",E21/$E$8)</f>
        <v/>
      </c>
      <c r="G21" s="19" t="inlineStr">
        <is>
          <t>Standard plan</t>
        </is>
      </c>
    </row>
    <row r="22">
      <c r="A22" s="24" t="inlineStr">
        <is>
          <t>Subtotal — Subscriptions</t>
        </is>
      </c>
      <c r="B22" s="11" t="n"/>
      <c r="C22" s="11" t="n"/>
      <c r="D22" s="25">
        <f>SUM(D20:D21)</f>
        <v/>
      </c>
      <c r="E22" s="25">
        <f>SUM(E20:E21)</f>
        <v/>
      </c>
      <c r="F22" s="26">
        <f>IF($E$8=0,"",E22/$E$8)</f>
        <v/>
      </c>
      <c r="G22" s="11" t="n"/>
    </row>
    <row r="24">
      <c r="A24" s="13" t="inlineStr">
        <is>
          <t>BUSINESS COSTS &amp; LICENSING</t>
        </is>
      </c>
      <c r="B24" s="14" t="n"/>
      <c r="C24" s="14" t="n"/>
      <c r="D24" s="14" t="n"/>
      <c r="E24" s="14" t="n"/>
      <c r="F24" s="14" t="n"/>
      <c r="G24" s="14" t="n"/>
    </row>
    <row r="25">
      <c r="A25" s="6" t="inlineStr">
        <is>
          <t>Public liability insurance</t>
        </is>
      </c>
      <c r="B25" s="15" t="inlineStr">
        <is>
          <t>Annually</t>
        </is>
      </c>
      <c r="C25" s="16" t="n">
        <v>1100</v>
      </c>
      <c r="D25" s="17">
        <f>IF(E25="","",E25/12)</f>
        <v/>
      </c>
      <c r="E25" s="17">
        <f>IF(C25="","",C25*IF(B25="Weekly",52,IF(B25="Fortnightly",26,IF(B25="Monthly",12,IF(B25="Quarterly",4,IF(B25="Half-yearly",2,IF(B25="Annually",1,IF(B25="One-off",1,0))))))))</f>
        <v/>
      </c>
      <c r="F25" s="23">
        <f>IF($E$8=0,"",E25/$E$8)</f>
        <v/>
      </c>
      <c r="G25" s="19" t="inlineStr">
        <is>
          <t>$5m / $10m cover</t>
        </is>
      </c>
    </row>
    <row r="26">
      <c r="A26" s="6" t="inlineStr">
        <is>
          <t>Business name registration</t>
        </is>
      </c>
      <c r="B26" s="15" t="inlineStr">
        <is>
          <t>Annually</t>
        </is>
      </c>
      <c r="C26" s="16" t="n">
        <v>60</v>
      </c>
      <c r="D26" s="17">
        <f>IF(E26="","",E26/12)</f>
        <v/>
      </c>
      <c r="E26" s="17">
        <f>IF(C26="","",C26*IF(B26="Weekly",52,IF(B26="Fortnightly",26,IF(B26="Monthly",12,IF(B26="Quarterly",4,IF(B26="Half-yearly",2,IF(B26="Annually",1,IF(B26="One-off",1,0))))))))</f>
        <v/>
      </c>
      <c r="F26" s="23">
        <f>IF($E$8=0,"",E26/$E$8)</f>
        <v/>
      </c>
      <c r="G26" s="19" t="inlineStr">
        <is>
          <t>ASIC renewal</t>
        </is>
      </c>
    </row>
    <row r="27">
      <c r="A27" s="6" t="inlineStr">
        <is>
          <t>Trade licence / certification</t>
        </is>
      </c>
      <c r="B27" s="15" t="inlineStr">
        <is>
          <t>Annually</t>
        </is>
      </c>
      <c r="C27" s="16" t="n">
        <v>350</v>
      </c>
      <c r="D27" s="17">
        <f>IF(E27="","",E27/12)</f>
        <v/>
      </c>
      <c r="E27" s="17">
        <f>IF(C27="","",C27*IF(B27="Weekly",52,IF(B27="Fortnightly",26,IF(B27="Monthly",12,IF(B27="Quarterly",4,IF(B27="Half-yearly",2,IF(B27="Annually",1,IF(B27="One-off",1,0))))))))</f>
        <v/>
      </c>
      <c r="F27" s="23">
        <f>IF($E$8=0,"",E27/$E$8)</f>
        <v/>
      </c>
      <c r="G27" s="19" t="inlineStr">
        <is>
          <t>Licence renewal + CPD</t>
        </is>
      </c>
    </row>
    <row r="28">
      <c r="A28" s="6" t="inlineStr">
        <is>
          <t>Phone &amp; internet</t>
        </is>
      </c>
      <c r="B28" s="15" t="inlineStr">
        <is>
          <t>Monthly</t>
        </is>
      </c>
      <c r="C28" s="16" t="n">
        <v>110</v>
      </c>
      <c r="D28" s="17">
        <f>IF(E28="","",E28/12)</f>
        <v/>
      </c>
      <c r="E28" s="17">
        <f>IF(C28="","",C28*IF(B28="Weekly",52,IF(B28="Fortnightly",26,IF(B28="Monthly",12,IF(B28="Quarterly",4,IF(B28="Half-yearly",2,IF(B28="Annually",1,IF(B28="One-off",1,0))))))))</f>
        <v/>
      </c>
      <c r="F28" s="23">
        <f>IF($E$8=0,"",E28/$E$8)</f>
        <v/>
      </c>
      <c r="G28" s="19" t="inlineStr">
        <is>
          <t>Mobile + data</t>
        </is>
      </c>
    </row>
    <row r="29">
      <c r="A29" s="6" t="inlineStr">
        <is>
          <t>Tools &amp; equipment</t>
        </is>
      </c>
      <c r="B29" s="15" t="inlineStr">
        <is>
          <t>Annually</t>
        </is>
      </c>
      <c r="C29" s="16" t="n">
        <v>2000</v>
      </c>
      <c r="D29" s="17">
        <f>IF(E29="","",E29/12)</f>
        <v/>
      </c>
      <c r="E29" s="17">
        <f>IF(C29="","",C29*IF(B29="Weekly",52,IF(B29="Fortnightly",26,IF(B29="Monthly",12,IF(B29="Quarterly",4,IF(B29="Half-yearly",2,IF(B29="Annually",1,IF(B29="One-off",1,0))))))))</f>
        <v/>
      </c>
      <c r="F29" s="23">
        <f>IF($E$8=0,"",E29/$E$8)</f>
        <v/>
      </c>
      <c r="G29" s="19" t="inlineStr">
        <is>
          <t>Replacement / new tools</t>
        </is>
      </c>
    </row>
    <row r="30">
      <c r="A30" s="6" t="inlineStr">
        <is>
          <t>Marketing &amp; advertising</t>
        </is>
      </c>
      <c r="B30" s="15" t="inlineStr">
        <is>
          <t>Monthly</t>
        </is>
      </c>
      <c r="C30" s="16" t="n">
        <v>150</v>
      </c>
      <c r="D30" s="17">
        <f>IF(E30="","",E30/12)</f>
        <v/>
      </c>
      <c r="E30" s="17">
        <f>IF(C30="","",C30*IF(B30="Weekly",52,IF(B30="Fortnightly",26,IF(B30="Monthly",12,IF(B30="Quarterly",4,IF(B30="Half-yearly",2,IF(B30="Annually",1,IF(B30="One-off",1,0))))))))</f>
        <v/>
      </c>
      <c r="F30" s="23">
        <f>IF($E$8=0,"",E30/$E$8)</f>
        <v/>
      </c>
      <c r="G30" s="19" t="inlineStr">
        <is>
          <t>Website, ads, signage</t>
        </is>
      </c>
    </row>
    <row r="31">
      <c r="A31" s="6" t="inlineStr">
        <is>
          <t>Bank &amp; merchant fees</t>
        </is>
      </c>
      <c r="B31" s="15" t="inlineStr">
        <is>
          <t>Monthly</t>
        </is>
      </c>
      <c r="C31" s="16" t="n">
        <v>40</v>
      </c>
      <c r="D31" s="17">
        <f>IF(E31="","",E31/12)</f>
        <v/>
      </c>
      <c r="E31" s="17">
        <f>IF(C31="","",C31*IF(B31="Weekly",52,IF(B31="Fortnightly",26,IF(B31="Monthly",12,IF(B31="Quarterly",4,IF(B31="Half-yearly",2,IF(B31="Annually",1,IF(B31="One-off",1,0))))))))</f>
        <v/>
      </c>
      <c r="F31" s="23">
        <f>IF($E$8=0,"",E31/$E$8)</f>
        <v/>
      </c>
      <c r="G31" s="19" t="inlineStr">
        <is>
          <t>Card / EFTPOS fees</t>
        </is>
      </c>
    </row>
    <row r="32">
      <c r="A32" s="24" t="inlineStr">
        <is>
          <t>Subtotal — Business Costs &amp; Licensing</t>
        </is>
      </c>
      <c r="B32" s="11" t="n"/>
      <c r="C32" s="11" t="n"/>
      <c r="D32" s="25">
        <f>SUM(D25:D31)</f>
        <v/>
      </c>
      <c r="E32" s="25">
        <f>SUM(E25:E31)</f>
        <v/>
      </c>
      <c r="F32" s="26">
        <f>IF($E$8=0,"",E32/$E$8)</f>
        <v/>
      </c>
      <c r="G32" s="11" t="n"/>
    </row>
    <row r="34">
      <c r="A34" s="27" t="inlineStr">
        <is>
          <t>TOTAL EXPENSES</t>
        </is>
      </c>
      <c r="B34" s="28" t="n"/>
      <c r="C34" s="28" t="n"/>
      <c r="D34" s="29">
        <f>D17+D22+D32</f>
        <v/>
      </c>
      <c r="E34" s="29">
        <f>E17+E22+E32</f>
        <v/>
      </c>
      <c r="F34" s="30">
        <f>IF($E$8=0,"",E34/$E$8)</f>
        <v/>
      </c>
      <c r="G34" s="28" t="n"/>
    </row>
    <row r="35">
      <c r="A35" s="31" t="inlineStr">
        <is>
          <t>NET PROFIT (before tax)</t>
        </is>
      </c>
      <c r="B35" s="32" t="n"/>
      <c r="C35" s="32" t="n"/>
      <c r="D35" s="33">
        <f>$D$8-D34</f>
        <v/>
      </c>
      <c r="E35" s="33">
        <f>$E$8-E34</f>
        <v/>
      </c>
      <c r="F35" s="34">
        <f>IF($E$8=0,"",E35/$E$8)</f>
        <v/>
      </c>
      <c r="G35" s="32" t="n"/>
    </row>
    <row r="37" ht="42" customHeight="1">
      <c r="A37" s="2" t="inlineStr">
        <is>
          <t>NOTE: All amounts are editable estimates — replace them with your real figures. 'NET PROFIT (before tax)' is income minus expenses and does NOT account for income tax, GST or super. Frequencies supported: Weekly, Fortnightly, Monthly, Quarterly, Half-yearly, Annually, One-off.</t>
        </is>
      </c>
    </row>
  </sheetData>
  <mergeCells count="7">
    <mergeCell ref="A1:G1"/>
    <mergeCell ref="A24:G24"/>
    <mergeCell ref="A2:G2"/>
    <mergeCell ref="A19:G19"/>
    <mergeCell ref="A10:G10"/>
    <mergeCell ref="A5:G5"/>
    <mergeCell ref="A37:G37"/>
  </mergeCells>
  <dataValidations count="1">
    <dataValidation sqref="B6:B7 B10:B33" showDropDown="0" showInputMessage="0" showErrorMessage="0" allowBlank="1" type="list">
      <formula1>"Weekly,Fortnightly,Monthly,Quarterly,Half-yearly,Annually,One-off"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2026-06-03T01:55:28Z</dcterms:created>
  <dcterms:modified xsi:type="dcterms:W3CDTF">2026-06-03T01:55:28Z</dcterms:modified>
</cp:coreProperties>
</file>